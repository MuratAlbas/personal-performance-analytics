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t/Desktop/dersler/"/>
    </mc:Choice>
  </mc:AlternateContent>
  <xr:revisionPtr revIDLastSave="0" documentId="13_ncr:1_{B0F27270-5C75-7F4B-AB72-7D1CB900DC19}" xr6:coauthVersionLast="47" xr6:coauthVersionMax="47" xr10:uidLastSave="{00000000-0000-0000-0000-000000000000}"/>
  <bookViews>
    <workbookView xWindow="0" yWindow="660" windowWidth="29400" windowHeight="16800" xr2:uid="{98537451-F7D1-E644-B917-C2C997AEF9D9}"/>
  </bookViews>
  <sheets>
    <sheet name="Sheet5" sheetId="5" r:id="rId1"/>
    <sheet name="Sheet1" sheetId="1" r:id="rId2"/>
  </sheets>
  <definedNames>
    <definedName name="_xlchart.v1.0" hidden="1">Sheet1!$D$21</definedName>
    <definedName name="_xlchart.v1.1" hidden="1">Sheet1!$D$22:$D$32</definedName>
    <definedName name="_xlchart.v1.2" hidden="1">Sheet1!$G$21</definedName>
    <definedName name="_xlchart.v1.3" hidden="1">Sheet1!$G$22:$G$32</definedName>
    <definedName name="_xlchart.v1.4" hidden="1">Sheet1!$J$21</definedName>
    <definedName name="_xlchart.v1.5" hidden="1">Sheet1!$J$22:$J$32</definedName>
  </definedNames>
  <calcPr calcId="191029"/>
  <pivotCaches>
    <pivotCache cacheId="2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G32" i="1"/>
  <c r="D32" i="1"/>
  <c r="K32" i="1" s="1"/>
  <c r="J31" i="1"/>
  <c r="G31" i="1"/>
  <c r="D31" i="1"/>
  <c r="K31" i="1" s="1"/>
  <c r="J30" i="1"/>
  <c r="G30" i="1"/>
  <c r="D30" i="1"/>
  <c r="K30" i="1" s="1"/>
  <c r="J29" i="1"/>
  <c r="G29" i="1"/>
  <c r="D29" i="1"/>
  <c r="K29" i="1" s="1"/>
  <c r="J28" i="1"/>
  <c r="G28" i="1"/>
  <c r="D28" i="1"/>
  <c r="K28" i="1" s="1"/>
  <c r="J27" i="1"/>
  <c r="G27" i="1"/>
  <c r="D27" i="1"/>
  <c r="K27" i="1" s="1"/>
  <c r="J26" i="1"/>
  <c r="G26" i="1"/>
  <c r="D26" i="1"/>
  <c r="K26" i="1" s="1"/>
  <c r="J25" i="1"/>
  <c r="G25" i="1"/>
  <c r="D25" i="1"/>
  <c r="K25" i="1" s="1"/>
  <c r="J24" i="1"/>
  <c r="G24" i="1"/>
  <c r="D24" i="1"/>
  <c r="K24" i="1" s="1"/>
  <c r="J23" i="1"/>
  <c r="G23" i="1"/>
  <c r="D23" i="1"/>
  <c r="K23" i="1" s="1"/>
  <c r="J22" i="1"/>
  <c r="G22" i="1"/>
  <c r="D22" i="1"/>
  <c r="K22" i="1" s="1"/>
  <c r="K4" i="1"/>
  <c r="K5" i="1"/>
  <c r="K6" i="1"/>
  <c r="K7" i="1"/>
  <c r="K8" i="1"/>
  <c r="K9" i="1"/>
  <c r="K10" i="1"/>
  <c r="K11" i="1"/>
  <c r="K12" i="1"/>
  <c r="K13" i="1"/>
  <c r="K3" i="1"/>
  <c r="J4" i="1"/>
  <c r="J5" i="1"/>
  <c r="J3" i="1"/>
  <c r="J13" i="1"/>
  <c r="J12" i="1"/>
  <c r="G13" i="1"/>
  <c r="D13" i="1"/>
  <c r="D12" i="1"/>
  <c r="D11" i="1"/>
  <c r="J7" i="1"/>
  <c r="J8" i="1"/>
  <c r="J9" i="1"/>
  <c r="J10" i="1"/>
  <c r="J11" i="1"/>
  <c r="J6" i="1"/>
  <c r="G12" i="1"/>
  <c r="G11" i="1"/>
  <c r="G10" i="1"/>
  <c r="G9" i="1"/>
  <c r="G8" i="1"/>
  <c r="G7" i="1"/>
  <c r="G6" i="1"/>
  <c r="G4" i="1"/>
  <c r="G5" i="1"/>
  <c r="G3" i="1"/>
  <c r="D10" i="1"/>
  <c r="D9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<sst xmlns="http://schemas.openxmlformats.org/spreadsheetml/2006/main" count="36" uniqueCount="26">
  <si>
    <t>Machine Chest Press</t>
  </si>
  <si>
    <t>Cable Row</t>
  </si>
  <si>
    <t>Weight in kgs</t>
  </si>
  <si>
    <t>Repetitions</t>
  </si>
  <si>
    <t>Hack Squat</t>
  </si>
  <si>
    <t>Total Work (Volume)</t>
  </si>
  <si>
    <t>Daily Total Volume</t>
  </si>
  <si>
    <t>date</t>
  </si>
  <si>
    <t>Row Labels</t>
  </si>
  <si>
    <t>Grand Total</t>
  </si>
  <si>
    <t>Sum of Daily Total Volume</t>
  </si>
  <si>
    <t>Hack Squat Weight</t>
  </si>
  <si>
    <t>Hack Squat Reps</t>
  </si>
  <si>
    <t>Hack Squat Volume</t>
  </si>
  <si>
    <t>Machine Chest Press Weight</t>
  </si>
  <si>
    <t>Machine Chest Press Reps</t>
  </si>
  <si>
    <t>Machine Chest Press Volume</t>
  </si>
  <si>
    <t>Cable Row Weight</t>
  </si>
  <si>
    <t>Cable Row Reps</t>
  </si>
  <si>
    <t>Cable Row Volume</t>
  </si>
  <si>
    <t xml:space="preserve">Hack Squat </t>
  </si>
  <si>
    <t>Sum of Hack Squat Weight</t>
  </si>
  <si>
    <t>Sum of Hack Squat Reps</t>
  </si>
  <si>
    <t>Sum of Hack Squat Volume</t>
  </si>
  <si>
    <t>Sum of Machine Chest Press Volume</t>
  </si>
  <si>
    <t>Sum of Cable Row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</si>
</sst>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0" fillId="0" borderId="1" xfId="0" applyNumberFormat="1" applyBorder="1"/>
    <xf numFmtId="16" fontId="0" fillId="0" borderId="0" xfId="0" applyNumberFormat="1"/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[Workouts.xlsx]Sheet5!PivotTable4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Total Work (Volume)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Sheet5!$A$4:$A$15</c:f>
              <c:strCache>
                <c:ptCount val="11"/>
                <c:pt idx="0">
                  <c:v>13.03.2026</c:v>
                </c:pt>
                <c:pt idx="1">
                  <c:v>15.03.2026</c:v>
                </c:pt>
                <c:pt idx="2">
                  <c:v>18.03.2026</c:v>
                </c:pt>
                <c:pt idx="3">
                  <c:v>20.03.2026</c:v>
                </c:pt>
                <c:pt idx="4">
                  <c:v>22.03.2026</c:v>
                </c:pt>
                <c:pt idx="5">
                  <c:v>25.03.2026</c:v>
                </c:pt>
                <c:pt idx="6">
                  <c:v>27.03.2026</c:v>
                </c:pt>
                <c:pt idx="7">
                  <c:v>29.03.2026</c:v>
                </c:pt>
                <c:pt idx="8">
                  <c:v>1.04.2026</c:v>
                </c:pt>
                <c:pt idx="9">
                  <c:v>3.04.2026</c:v>
                </c:pt>
                <c:pt idx="10">
                  <c:v>5.04.2026</c:v>
                </c:pt>
              </c:strCache>
            </c:strRef>
          </c:cat>
          <c:val>
            <c:numRef>
              <c:f>Sheet5!$B$4:$B$15</c:f>
              <c:numCache>
                <c:formatCode>General</c:formatCode>
                <c:ptCount val="11"/>
                <c:pt idx="0">
                  <c:v>4140</c:v>
                </c:pt>
                <c:pt idx="1">
                  <c:v>4665</c:v>
                </c:pt>
                <c:pt idx="2">
                  <c:v>4560</c:v>
                </c:pt>
                <c:pt idx="3">
                  <c:v>5040</c:v>
                </c:pt>
                <c:pt idx="4">
                  <c:v>5340</c:v>
                </c:pt>
                <c:pt idx="5">
                  <c:v>5085</c:v>
                </c:pt>
                <c:pt idx="6">
                  <c:v>4800</c:v>
                </c:pt>
                <c:pt idx="7">
                  <c:v>4320</c:v>
                </c:pt>
                <c:pt idx="8">
                  <c:v>4785</c:v>
                </c:pt>
                <c:pt idx="9">
                  <c:v>5175</c:v>
                </c:pt>
                <c:pt idx="10">
                  <c:v>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812-2F41-A6A3-631E83F93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005631"/>
        <c:axId val="1491006591"/>
      </c:lineChart>
      <c:catAx>
        <c:axId val="160100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491006591"/>
        <c:crosses val="autoZero"/>
        <c:auto val="1"/>
        <c:lblAlgn val="ctr"/>
        <c:lblOffset val="100"/>
        <c:noMultiLvlLbl val="0"/>
      </c:catAx>
      <c:valAx>
        <c:axId val="1491006591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60100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[Workouts.xlsx]Sheet5!PivotTable7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Total Work (Volume) per Exercise (March - April)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Sheet5!$A$23</c:f>
              <c:strCache>
                <c:ptCount val="1"/>
                <c:pt idx="0">
                  <c:v>Cable Row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Sheet5!$A$24</c:f>
              <c:numCache>
                <c:formatCode>General</c:formatCode>
                <c:ptCount val="1"/>
                <c:pt idx="0">
                  <c:v>1641.8181818181818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3-8C4F-AE15-7DA5EFA4292D}"/>
            </c:ext>
          </c:extLst>
        </c:ser>
        <c:ser>
          <c:idx val="1"/>
          <c:order val="1"/>
          <c:tx>
            <c:strRef>
              <c:f>Sheet5!$B$23</c:f>
              <c:strCache>
                <c:ptCount val="1"/>
                <c:pt idx="0">
                  <c:v>Machine Chest Press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Sheet5!$B$24</c:f>
              <c:numCache>
                <c:formatCode>General</c:formatCode>
                <c:ptCount val="1"/>
                <c:pt idx="0">
                  <c:v>1325.4545454545455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3-8C4F-AE15-7DA5EFA4292D}"/>
            </c:ext>
          </c:extLst>
        </c:ser>
        <c:ser>
          <c:idx val="2"/>
          <c:order val="2"/>
          <c:tx>
            <c:strRef>
              <c:f>Sheet5!$C$23</c:f>
              <c:strCache>
                <c:ptCount val="1"/>
                <c:pt idx="0">
                  <c:v>Hack Squat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Sheet5!$C$24</c:f>
              <c:numCache>
                <c:formatCode>General</c:formatCode>
                <c:ptCount val="1"/>
                <c:pt idx="0">
                  <c:v>1869.5454545454545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3-8C4F-AE15-7DA5EFA42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782143"/>
        <c:axId val="1478842943"/>
      </c:barChart>
      <c:catAx>
        <c:axId val="1439782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TR"/>
          </a:p>
        </c:txPr>
        <c:crossAx val="1478842943"/>
        <c:crosses val="autoZero"/>
        <c:auto val="1"/>
        <c:lblAlgn val="ctr"/>
        <c:lblOffset val="100"/>
        <c:noMultiLvlLbl val="0"/>
      </c:catAx>
      <c:valAx>
        <c:axId val="14788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43978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Intensity vs. Volume Correlation (Hack Squat)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184888189217407"/>
                  <c:y val="-4.79929554618343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</c:trendlineLbl>
          </c:trendline>
          <c:xVal>
            <c:numRef>
              <c:f>Sheet1!$B$22:$B$32</c:f>
              <c:numCache>
                <c:formatCode>General</c:formatCode>
                <c:ptCount val="11"/>
                <c:pt idx="0">
                  <c:v>70</c:v>
                </c:pt>
                <c:pt idx="1">
                  <c:v>70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95</c:v>
                </c:pt>
              </c:numCache>
            </c:numRef>
          </c:xVal>
          <c:yVal>
            <c:numRef>
              <c:f>Sheet1!$C$22:$C$32</c:f>
              <c:numCache>
                <c:formatCode>General</c:formatCode>
                <c:ptCount val="11"/>
                <c:pt idx="0">
                  <c:v>24</c:v>
                </c:pt>
                <c:pt idx="1">
                  <c:v>27</c:v>
                </c:pt>
                <c:pt idx="2">
                  <c:v>24</c:v>
                </c:pt>
                <c:pt idx="3">
                  <c:v>24</c:v>
                </c:pt>
                <c:pt idx="4">
                  <c:v>27</c:v>
                </c:pt>
                <c:pt idx="5">
                  <c:v>24</c:v>
                </c:pt>
                <c:pt idx="6">
                  <c:v>21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E0-3A4F-B8C0-5637BC9D6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009792"/>
        <c:axId val="223005312"/>
      </c:scatterChart>
      <c:valAx>
        <c:axId val="223009792"/>
        <c:scaling>
          <c:orientation val="minMax"/>
          <c:min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Weights (Intensity)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23005312"/>
        <c:crosses val="autoZero"/>
        <c:crossBetween val="midCat"/>
      </c:valAx>
      <c:valAx>
        <c:axId val="2230053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Repetitions (Volume)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2300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Volume Distribution and Performance Variance Analysis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F5E1CCB4-0878-FC44-8E2C-846B4D2401F8}">
          <cx:tx>
            <cx:txData>
              <cx:f>_xlchart.v1.0</cx:f>
              <cx:v>Hack Squat Volume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54D53AA-D69C-5F40-8586-FEDB5C383F63}">
          <cx:tx>
            <cx:txData>
              <cx:f>_xlchart.v1.2</cx:f>
              <cx:v>Machine Chest Press Volume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4BACFC3-0108-6A45-A2B6-ADEAC9C5A07C}">
          <cx:tx>
            <cx:txData>
              <cx:f>_xlchart.v1.4</cx:f>
              <cx:v>Cable Row Volume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Total Work (Total Volume for each exercise)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Work (Total Volume for each exercise)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2</xdr:row>
      <xdr:rowOff>12700</xdr:rowOff>
    </xdr:from>
    <xdr:to>
      <xdr:col>9</xdr:col>
      <xdr:colOff>539750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C2788-5198-45EB-086F-EEBBE857B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273050</xdr:colOff>
      <xdr:row>22</xdr:row>
      <xdr:rowOff>12700</xdr:rowOff>
    </xdr:from>
    <xdr:to>
      <xdr:col>10</xdr:col>
      <xdr:colOff>736600</xdr:colOff>
      <xdr:row>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EDED4-F18F-1D10-5546-022708C5D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292100</xdr:colOff>
      <xdr:row>47</xdr:row>
      <xdr:rowOff>152400</xdr:rowOff>
    </xdr:from>
    <xdr:to>
      <xdr:col>8</xdr:col>
      <xdr:colOff>738175</xdr:colOff>
      <xdr:row>61</xdr:row>
      <xdr:rowOff>4725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06DE28-84AF-BA46-BCBC-B590C7746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67</xdr:row>
      <xdr:rowOff>0</xdr:rowOff>
    </xdr:from>
    <xdr:to>
      <xdr:col>13</xdr:col>
      <xdr:colOff>342900</xdr:colOff>
      <xdr:row>89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2CF2CF7-2430-814C-96C4-B8105AA657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4500" y="13614400"/>
              <a:ext cx="7772400" cy="453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635000</xdr:colOff>
      <xdr:row>88</xdr:row>
      <xdr:rowOff>0</xdr:rowOff>
    </xdr:from>
    <xdr:to>
      <xdr:col>7</xdr:col>
      <xdr:colOff>798526</xdr:colOff>
      <xdr:row>89</xdr:row>
      <xdr:rowOff>35009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795695-938D-4B4F-9A46-F81EF06BBEA3}"/>
            </a:ext>
          </a:extLst>
        </xdr:cNvPr>
        <xdr:cNvSpPr txBox="1"/>
      </xdr:nvSpPr>
      <xdr:spPr>
        <a:xfrm>
          <a:off x="9080500" y="17881600"/>
          <a:ext cx="989026" cy="2382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Hack Squat</a:t>
          </a:r>
          <a:r>
            <a:rPr lang="en-US" sz="800" baseline="0"/>
            <a:t> </a:t>
          </a:r>
          <a:r>
            <a:rPr lang="en-US" sz="800"/>
            <a:t>Volume</a:t>
          </a:r>
        </a:p>
      </xdr:txBody>
    </xdr:sp>
    <xdr:clientData/>
  </xdr:twoCellAnchor>
  <xdr:twoCellAnchor>
    <xdr:from>
      <xdr:col>8</xdr:col>
      <xdr:colOff>135805</xdr:colOff>
      <xdr:row>88</xdr:row>
      <xdr:rowOff>6771</xdr:rowOff>
    </xdr:from>
    <xdr:to>
      <xdr:col>9</xdr:col>
      <xdr:colOff>689258</xdr:colOff>
      <xdr:row>89</xdr:row>
      <xdr:rowOff>13007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9AEA045-CFEE-6C4D-9490-11545814B7AC}"/>
            </a:ext>
          </a:extLst>
        </xdr:cNvPr>
        <xdr:cNvSpPr txBox="1"/>
      </xdr:nvSpPr>
      <xdr:spPr>
        <a:xfrm>
          <a:off x="10232305" y="17888371"/>
          <a:ext cx="1378953" cy="2094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Machine</a:t>
          </a:r>
          <a:r>
            <a:rPr lang="en-US" sz="800" baseline="0"/>
            <a:t> Chest Press</a:t>
          </a:r>
          <a:r>
            <a:rPr lang="en-US" sz="800"/>
            <a:t> Volume</a:t>
          </a:r>
        </a:p>
      </xdr:txBody>
    </xdr:sp>
    <xdr:clientData/>
  </xdr:twoCellAnchor>
  <xdr:twoCellAnchor>
    <xdr:from>
      <xdr:col>10</xdr:col>
      <xdr:colOff>57601</xdr:colOff>
      <xdr:row>88</xdr:row>
      <xdr:rowOff>1826</xdr:rowOff>
    </xdr:from>
    <xdr:to>
      <xdr:col>11</xdr:col>
      <xdr:colOff>194634</xdr:colOff>
      <xdr:row>89</xdr:row>
      <xdr:rowOff>24246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62F96D-1CC3-BA49-B6BD-AD6E7675A660}"/>
            </a:ext>
          </a:extLst>
        </xdr:cNvPr>
        <xdr:cNvSpPr txBox="1"/>
      </xdr:nvSpPr>
      <xdr:spPr>
        <a:xfrm>
          <a:off x="11805101" y="17883426"/>
          <a:ext cx="962533" cy="225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Cable RowVolume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0.2221</cdr:x>
      <cdr:y>0.94462</cdr:y>
    </cdr:from>
    <cdr:to>
      <cdr:x>0.63007</cdr:x>
      <cdr:y>0.98987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0B2CE09-8812-B4D9-09EB-36D2F151F8E2}"/>
            </a:ext>
          </a:extLst>
        </cdr:cNvPr>
        <cdr:cNvSpPr txBox="1"/>
      </cdr:nvSpPr>
      <cdr:spPr>
        <a:xfrm xmlns:a="http://schemas.openxmlformats.org/drawingml/2006/main">
          <a:off x="1386338" y="3587003"/>
          <a:ext cx="2546590" cy="17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kern="1200"/>
            <a:t>Exercises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et Murat Albas" refreshedDate="46134.920366203703" createdVersion="8" refreshedVersion="8" minRefreshableVersion="3" recordCount="12" xr:uid="{8DD3BC90-CA21-C54F-A95E-41C83ED1D36A}">
  <cacheSource type="worksheet">
    <worksheetSource ref="A1:K13" sheet="Sheet1"/>
  </cacheSource>
  <cacheFields count="13">
    <cacheField name="date" numFmtId="0">
      <sharedItems containsNonDate="0" containsDate="1" containsString="0" containsBlank="1" minDate="2026-03-13T00:00:00" maxDate="2026-04-06T00:00:00" count="12">
        <m/>
        <d v="2026-03-13T00:00:00"/>
        <d v="2026-03-15T00:00:00"/>
        <d v="2026-03-18T00:00:00"/>
        <d v="2026-03-20T00:00:00"/>
        <d v="2026-03-22T00:00:00"/>
        <d v="2026-03-25T00:00:00"/>
        <d v="2026-03-27T00:00:00"/>
        <d v="2026-03-29T00:00:00"/>
        <d v="2026-04-01T00:00:00"/>
        <d v="2026-04-03T00:00:00"/>
        <d v="2026-04-05T00:00:00"/>
      </sharedItems>
      <fieldGroup par="12"/>
    </cacheField>
    <cacheField name="Hack Squat" numFmtId="0">
      <sharedItems containsMixedTypes="1" containsNumber="1" containsInteger="1" minValue="70" maxValue="95" count="7">
        <s v="Weight in kgs"/>
        <n v="70"/>
        <n v="75"/>
        <n v="80"/>
        <n v="85"/>
        <n v="90"/>
        <n v="95"/>
      </sharedItems>
    </cacheField>
    <cacheField name="Field3" caption="Field3" numFmtId="0">
      <sharedItems containsMixedTypes="1" containsNumber="1" containsInteger="1" minValue="18" maxValue="27"/>
    </cacheField>
    <cacheField name="Field4" caption="Field4" numFmtId="0">
      <sharedItems containsMixedTypes="1" containsNumber="1" containsInteger="1" minValue="1620" maxValue="2160"/>
    </cacheField>
    <cacheField name="Machine Chest Press" numFmtId="0">
      <sharedItems containsMixedTypes="1" containsNumber="1" containsInteger="1" minValue="50" maxValue="75" count="7">
        <s v="Weight in kgs"/>
        <n v="50"/>
        <n v="55"/>
        <n v="60"/>
        <n v="65"/>
        <n v="70"/>
        <n v="75"/>
      </sharedItems>
    </cacheField>
    <cacheField name="Field6" caption="Field6" numFmtId="0">
      <sharedItems containsMixedTypes="1" containsNumber="1" containsInteger="1" minValue="17" maxValue="24"/>
    </cacheField>
    <cacheField name="Field7" caption="Field7" numFmtId="0">
      <sharedItems containsMixedTypes="1" containsNumber="1" containsInteger="1" minValue="1200" maxValue="1500"/>
    </cacheField>
    <cacheField name="Cable Row" numFmtId="0">
      <sharedItems containsMixedTypes="1" containsNumber="1" containsInteger="1" minValue="35" maxValue="60" count="7">
        <s v="Weight in kgs"/>
        <n v="35"/>
        <n v="40"/>
        <n v="45"/>
        <n v="50"/>
        <n v="55"/>
        <n v="60"/>
      </sharedItems>
    </cacheField>
    <cacheField name="Field9" caption="Field9" numFmtId="0">
      <sharedItems containsMixedTypes="1" containsNumber="1" containsInteger="1" minValue="24" maxValue="45"/>
    </cacheField>
    <cacheField name="Field10" caption="Field10" numFmtId="0">
      <sharedItems containsMixedTypes="1" containsNumber="1" containsInteger="1" minValue="1260" maxValue="1935"/>
    </cacheField>
    <cacheField name="Daily Total Volume" numFmtId="0">
      <sharedItems containsString="0" containsBlank="1" containsNumber="1" containsInteger="1" minValue="4140" maxValue="5340"/>
    </cacheField>
    <cacheField name="Days (date)" numFmtId="0" databaseField="0">
      <fieldGroup base="0">
        <rangePr groupBy="days" startDate="2026-03-13T00:00:00" endDate="2026-04-06T00:00:00"/>
        <groupItems count="368">
          <s v="&lt;13.03.2026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ug"/>
          <s v="2.Aug"/>
          <s v="3.Aug"/>
          <s v="4.Aug"/>
          <s v="5.Aug"/>
          <s v="6.Aug"/>
          <s v="7.Aug"/>
          <s v="8.Aug"/>
          <s v="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ct"/>
          <s v="2.Oct"/>
          <s v="3.Oct"/>
          <s v="4.Oct"/>
          <s v="5.Oct"/>
          <s v="6.Oct"/>
          <s v="7.Oct"/>
          <s v="8.Oct"/>
          <s v="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6.04.2026"/>
        </groupItems>
      </fieldGroup>
    </cacheField>
    <cacheField name="Months (date)" numFmtId="0" databaseField="0">
      <fieldGroup base="0">
        <rangePr groupBy="months" startDate="2026-03-13T00:00:00" endDate="2026-04-06T00:00:00"/>
        <groupItems count="14">
          <s v="&lt;13.03.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et Murat Albas" refreshedDate="46134.974347106479" createdVersion="8" refreshedVersion="8" minRefreshableVersion="3" recordCount="11" xr:uid="{C3A4FEF4-D662-E842-9B19-79B2A66AC55D}">
  <cacheSource type="worksheet">
    <worksheetSource ref="A21:K32" sheet="Sheet1"/>
  </cacheSource>
  <cacheFields count="11">
    <cacheField name="date" numFmtId="16">
      <sharedItems containsSemiMixedTypes="0" containsNonDate="0" containsDate="1" containsString="0" minDate="2026-03-13T00:00:00" maxDate="2026-04-06T00:00:00"/>
    </cacheField>
    <cacheField name="Hack Squat Weight" numFmtId="0">
      <sharedItems containsSemiMixedTypes="0" containsString="0" containsNumber="1" containsInteger="1" minValue="70" maxValue="95"/>
    </cacheField>
    <cacheField name="Hack Squat Reps" numFmtId="0">
      <sharedItems containsSemiMixedTypes="0" containsString="0" containsNumber="1" containsInteger="1" minValue="18" maxValue="27"/>
    </cacheField>
    <cacheField name="Hack Squat Volume" numFmtId="0">
      <sharedItems containsSemiMixedTypes="0" containsString="0" containsNumber="1" containsInteger="1" minValue="1620" maxValue="2160"/>
    </cacheField>
    <cacheField name="Machine Chest Press Weight" numFmtId="0">
      <sharedItems containsSemiMixedTypes="0" containsString="0" containsNumber="1" containsInteger="1" minValue="50" maxValue="75"/>
    </cacheField>
    <cacheField name="Machine Chest Press Reps" numFmtId="0">
      <sharedItems containsSemiMixedTypes="0" containsString="0" containsNumber="1" containsInteger="1" minValue="17" maxValue="24"/>
    </cacheField>
    <cacheField name="Machine Chest Press Volume" numFmtId="0">
      <sharedItems containsSemiMixedTypes="0" containsString="0" containsNumber="1" containsInteger="1" minValue="1200" maxValue="1500"/>
    </cacheField>
    <cacheField name="Cable Row Weight" numFmtId="0">
      <sharedItems containsSemiMixedTypes="0" containsString="0" containsNumber="1" containsInteger="1" minValue="35" maxValue="60"/>
    </cacheField>
    <cacheField name="Cable Row Reps" numFmtId="0">
      <sharedItems containsSemiMixedTypes="0" containsString="0" containsNumber="1" containsInteger="1" minValue="24" maxValue="45"/>
    </cacheField>
    <cacheField name="Cable Row Volume" numFmtId="0">
      <sharedItems containsSemiMixedTypes="0" containsString="0" containsNumber="1" containsInteger="1" minValue="1260" maxValue="1935"/>
    </cacheField>
    <cacheField name="Daily Total Volume" numFmtId="0">
      <sharedItems containsSemiMixedTypes="0" containsString="0" containsNumber="1" containsInteger="1" minValue="4140" maxValue="53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Repetitions"/>
    <s v="Total Work (Volume)"/>
    <x v="0"/>
    <s v="Repetitions"/>
    <s v="Total Work (Volume)"/>
    <x v="0"/>
    <s v="Repetitions"/>
    <s v="Total Work (Volume)"/>
    <m/>
  </r>
  <r>
    <x v="1"/>
    <x v="1"/>
    <n v="24"/>
    <n v="1680"/>
    <x v="1"/>
    <n v="24"/>
    <n v="1200"/>
    <x v="1"/>
    <n v="36"/>
    <n v="1260"/>
    <n v="4140"/>
  </r>
  <r>
    <x v="2"/>
    <x v="1"/>
    <n v="27"/>
    <n v="1890"/>
    <x v="1"/>
    <n v="24"/>
    <n v="1200"/>
    <x v="1"/>
    <n v="45"/>
    <n v="1575"/>
    <n v="4665"/>
  </r>
  <r>
    <x v="3"/>
    <x v="2"/>
    <n v="24"/>
    <n v="1800"/>
    <x v="2"/>
    <n v="24"/>
    <n v="1320"/>
    <x v="2"/>
    <n v="36"/>
    <n v="1440"/>
    <n v="4560"/>
  </r>
  <r>
    <x v="4"/>
    <x v="2"/>
    <n v="24"/>
    <n v="1800"/>
    <x v="3"/>
    <n v="24"/>
    <n v="1440"/>
    <x v="2"/>
    <n v="45"/>
    <n v="1800"/>
    <n v="5040"/>
  </r>
  <r>
    <x v="5"/>
    <x v="2"/>
    <n v="27"/>
    <n v="2025"/>
    <x v="3"/>
    <n v="23"/>
    <n v="1380"/>
    <x v="3"/>
    <n v="43"/>
    <n v="1935"/>
    <n v="5340"/>
  </r>
  <r>
    <x v="6"/>
    <x v="3"/>
    <n v="24"/>
    <n v="1920"/>
    <x v="4"/>
    <n v="21"/>
    <n v="1365"/>
    <x v="4"/>
    <n v="36"/>
    <n v="1800"/>
    <n v="5085"/>
  </r>
  <r>
    <x v="7"/>
    <x v="4"/>
    <n v="21"/>
    <n v="1785"/>
    <x v="4"/>
    <n v="21"/>
    <n v="1365"/>
    <x v="5"/>
    <n v="30"/>
    <n v="1650"/>
    <n v="4800"/>
  </r>
  <r>
    <x v="8"/>
    <x v="5"/>
    <n v="18"/>
    <n v="1620"/>
    <x v="5"/>
    <n v="18"/>
    <n v="1260"/>
    <x v="6"/>
    <n v="24"/>
    <n v="1440"/>
    <n v="4320"/>
  </r>
  <r>
    <x v="9"/>
    <x v="5"/>
    <n v="21"/>
    <n v="1890"/>
    <x v="6"/>
    <n v="17"/>
    <n v="1275"/>
    <x v="6"/>
    <n v="27"/>
    <n v="1620"/>
    <n v="4785"/>
  </r>
  <r>
    <x v="10"/>
    <x v="5"/>
    <n v="24"/>
    <n v="2160"/>
    <x v="6"/>
    <n v="17"/>
    <n v="1275"/>
    <x v="6"/>
    <n v="29"/>
    <n v="1740"/>
    <n v="5175"/>
  </r>
  <r>
    <x v="11"/>
    <x v="6"/>
    <n v="21"/>
    <n v="1995"/>
    <x v="6"/>
    <n v="20"/>
    <n v="1500"/>
    <x v="6"/>
    <n v="30"/>
    <n v="1800"/>
    <n v="5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6-03-13T00:00:00"/>
    <n v="70"/>
    <n v="24"/>
    <n v="1680"/>
    <n v="50"/>
    <n v="24"/>
    <n v="1200"/>
    <n v="35"/>
    <n v="36"/>
    <n v="1260"/>
    <n v="4140"/>
  </r>
  <r>
    <d v="2026-03-15T00:00:00"/>
    <n v="70"/>
    <n v="27"/>
    <n v="1890"/>
    <n v="50"/>
    <n v="24"/>
    <n v="1200"/>
    <n v="35"/>
    <n v="45"/>
    <n v="1575"/>
    <n v="4665"/>
  </r>
  <r>
    <d v="2026-03-18T00:00:00"/>
    <n v="75"/>
    <n v="24"/>
    <n v="1800"/>
    <n v="55"/>
    <n v="24"/>
    <n v="1320"/>
    <n v="40"/>
    <n v="36"/>
    <n v="1440"/>
    <n v="4560"/>
  </r>
  <r>
    <d v="2026-03-20T00:00:00"/>
    <n v="75"/>
    <n v="24"/>
    <n v="1800"/>
    <n v="60"/>
    <n v="24"/>
    <n v="1440"/>
    <n v="40"/>
    <n v="45"/>
    <n v="1800"/>
    <n v="5040"/>
  </r>
  <r>
    <d v="2026-03-22T00:00:00"/>
    <n v="75"/>
    <n v="27"/>
    <n v="2025"/>
    <n v="60"/>
    <n v="23"/>
    <n v="1380"/>
    <n v="45"/>
    <n v="43"/>
    <n v="1935"/>
    <n v="5340"/>
  </r>
  <r>
    <d v="2026-03-25T00:00:00"/>
    <n v="80"/>
    <n v="24"/>
    <n v="1920"/>
    <n v="65"/>
    <n v="21"/>
    <n v="1365"/>
    <n v="50"/>
    <n v="36"/>
    <n v="1800"/>
    <n v="5085"/>
  </r>
  <r>
    <d v="2026-03-27T00:00:00"/>
    <n v="85"/>
    <n v="21"/>
    <n v="1785"/>
    <n v="65"/>
    <n v="21"/>
    <n v="1365"/>
    <n v="55"/>
    <n v="30"/>
    <n v="1650"/>
    <n v="4800"/>
  </r>
  <r>
    <d v="2026-03-29T00:00:00"/>
    <n v="90"/>
    <n v="18"/>
    <n v="1620"/>
    <n v="70"/>
    <n v="18"/>
    <n v="1260"/>
    <n v="60"/>
    <n v="24"/>
    <n v="1440"/>
    <n v="4320"/>
  </r>
  <r>
    <d v="2026-04-01T00:00:00"/>
    <n v="90"/>
    <n v="21"/>
    <n v="1890"/>
    <n v="75"/>
    <n v="17"/>
    <n v="1275"/>
    <n v="60"/>
    <n v="27"/>
    <n v="1620"/>
    <n v="4785"/>
  </r>
  <r>
    <d v="2026-04-03T00:00:00"/>
    <n v="90"/>
    <n v="24"/>
    <n v="2160"/>
    <n v="75"/>
    <n v="17"/>
    <n v="1275"/>
    <n v="60"/>
    <n v="29"/>
    <n v="1740"/>
    <n v="5175"/>
  </r>
  <r>
    <d v="2026-04-05T00:00:00"/>
    <n v="95"/>
    <n v="21"/>
    <n v="1995"/>
    <n v="75"/>
    <n v="20"/>
    <n v="1500"/>
    <n v="60"/>
    <n v="30"/>
    <n v="1800"/>
    <n v="5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74AB8-F5D1-844D-AD01-2C3A2202A5FC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6:C67" firstHeaderRow="0" firstDataRow="1" firstDataCol="0"/>
  <pivotFields count="11">
    <pivotField numFmtId="16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able Row Volume" fld="9" baseField="0" baseItem="0"/>
    <dataField name="Sum of Machine Chest Press Volume" fld="6" baseField="0" baseItem="0"/>
    <dataField name="Sum of Hack Squat Volu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3D19C-C1DA-6045-AB54-2BEE3394707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9:B50" firstHeaderRow="0" firstDataRow="1" firstDataCol="0"/>
  <pivotFields count="11">
    <pivotField numFmtId="16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Hack Squat Reps" fld="2" baseField="0" baseItem="0"/>
    <dataField name="Sum of Hack Squat Weigh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4E70-85BE-CB4D-A20C-311810F95E9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5" firstHeaderRow="1" firstDataRow="1" firstDataCol="1"/>
  <pivotFields count="13"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Daily Total Volume" fld="10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099F1-4194-BB43-96DC-C5BBBEE3E2A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3:C24" firstHeaderRow="0" firstDataRow="1" firstDataCol="0"/>
  <pivotFields count="11">
    <pivotField numFmtId="16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able Row" fld="9" subtotal="average" baseField="0" baseItem="0"/>
    <dataField name="Machine Chest Press" fld="6" subtotal="average" baseField="0" baseItem="0"/>
    <dataField name="Hack Squat " fld="3" subtotal="average" baseField="0" baseItem="0"/>
  </dataFields>
  <chartFormats count="6"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9AF0-D1AE-F944-B8AE-687DC5C22A81}">
  <dimension ref="A3:C67"/>
  <sheetViews>
    <sheetView tabSelected="1" topLeftCell="A5" zoomScale="87" workbookViewId="0">
      <selection activeCell="L16" sqref="L16"/>
    </sheetView>
  </sheetViews>
  <sheetFormatPr baseColWidth="10" defaultRowHeight="16" x14ac:dyDescent="0.2"/>
  <cols>
    <col min="1" max="1" width="22.83203125" bestFit="1" customWidth="1"/>
    <col min="2" max="2" width="32" bestFit="1" customWidth="1"/>
    <col min="3" max="3" width="23.5" bestFit="1" customWidth="1"/>
  </cols>
  <sheetData>
    <row r="3" spans="1:2" x14ac:dyDescent="0.2">
      <c r="A3" s="12" t="s">
        <v>8</v>
      </c>
      <c r="B3" t="s">
        <v>10</v>
      </c>
    </row>
    <row r="4" spans="1:2" x14ac:dyDescent="0.2">
      <c r="A4" s="13">
        <v>46094</v>
      </c>
      <c r="B4">
        <v>4140</v>
      </c>
    </row>
    <row r="5" spans="1:2" x14ac:dyDescent="0.2">
      <c r="A5" s="13">
        <v>46096</v>
      </c>
      <c r="B5">
        <v>4665</v>
      </c>
    </row>
    <row r="6" spans="1:2" x14ac:dyDescent="0.2">
      <c r="A6" s="13">
        <v>46099</v>
      </c>
      <c r="B6">
        <v>4560</v>
      </c>
    </row>
    <row r="7" spans="1:2" x14ac:dyDescent="0.2">
      <c r="A7" s="13">
        <v>46101</v>
      </c>
      <c r="B7">
        <v>5040</v>
      </c>
    </row>
    <row r="8" spans="1:2" x14ac:dyDescent="0.2">
      <c r="A8" s="13">
        <v>46103</v>
      </c>
      <c r="B8">
        <v>5340</v>
      </c>
    </row>
    <row r="9" spans="1:2" x14ac:dyDescent="0.2">
      <c r="A9" s="13">
        <v>46106</v>
      </c>
      <c r="B9">
        <v>5085</v>
      </c>
    </row>
    <row r="10" spans="1:2" x14ac:dyDescent="0.2">
      <c r="A10" s="13">
        <v>46108</v>
      </c>
      <c r="B10">
        <v>4800</v>
      </c>
    </row>
    <row r="11" spans="1:2" x14ac:dyDescent="0.2">
      <c r="A11" s="13">
        <v>46110</v>
      </c>
      <c r="B11">
        <v>4320</v>
      </c>
    </row>
    <row r="12" spans="1:2" x14ac:dyDescent="0.2">
      <c r="A12" s="13">
        <v>46113</v>
      </c>
      <c r="B12">
        <v>4785</v>
      </c>
    </row>
    <row r="13" spans="1:2" x14ac:dyDescent="0.2">
      <c r="A13" s="13">
        <v>46115</v>
      </c>
      <c r="B13">
        <v>5175</v>
      </c>
    </row>
    <row r="14" spans="1:2" x14ac:dyDescent="0.2">
      <c r="A14" s="13">
        <v>46117</v>
      </c>
      <c r="B14">
        <v>5295</v>
      </c>
    </row>
    <row r="15" spans="1:2" x14ac:dyDescent="0.2">
      <c r="A15" s="14" t="s">
        <v>9</v>
      </c>
      <c r="B15">
        <v>53205</v>
      </c>
    </row>
    <row r="23" spans="1:3" x14ac:dyDescent="0.2">
      <c r="A23" t="s">
        <v>1</v>
      </c>
      <c r="B23" t="s">
        <v>0</v>
      </c>
      <c r="C23" t="s">
        <v>20</v>
      </c>
    </row>
    <row r="24" spans="1:3" x14ac:dyDescent="0.2">
      <c r="A24">
        <v>1641.8181818181818</v>
      </c>
      <c r="B24">
        <v>1325.4545454545455</v>
      </c>
      <c r="C24">
        <v>1869.5454545454545</v>
      </c>
    </row>
    <row r="49" spans="1:2" x14ac:dyDescent="0.2">
      <c r="A49" t="s">
        <v>22</v>
      </c>
      <c r="B49" t="s">
        <v>21</v>
      </c>
    </row>
    <row r="50" spans="1:2" x14ac:dyDescent="0.2">
      <c r="A50">
        <v>255</v>
      </c>
      <c r="B50">
        <v>895</v>
      </c>
    </row>
    <row r="66" spans="1:3" x14ac:dyDescent="0.2">
      <c r="A66" t="s">
        <v>25</v>
      </c>
      <c r="B66" t="s">
        <v>24</v>
      </c>
      <c r="C66" t="s">
        <v>23</v>
      </c>
    </row>
    <row r="67" spans="1:3" x14ac:dyDescent="0.2">
      <c r="A67">
        <v>18060</v>
      </c>
      <c r="B67">
        <v>14580</v>
      </c>
      <c r="C67">
        <v>20565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E9D7-5290-AB40-B2DE-B13228B34885}">
  <dimension ref="A1:Y32"/>
  <sheetViews>
    <sheetView topLeftCell="D30" zoomScale="118" zoomScaleNormal="150" workbookViewId="0">
      <selection activeCell="G55" sqref="G55"/>
    </sheetView>
  </sheetViews>
  <sheetFormatPr baseColWidth="10" defaultRowHeight="16" x14ac:dyDescent="0.2"/>
  <cols>
    <col min="2" max="2" width="16.5" bestFit="1" customWidth="1"/>
    <col min="3" max="3" width="14.6640625" bestFit="1" customWidth="1"/>
    <col min="4" max="4" width="17.5" bestFit="1" customWidth="1"/>
    <col min="5" max="5" width="24.33203125" bestFit="1" customWidth="1"/>
    <col min="6" max="6" width="22.6640625" bestFit="1" customWidth="1"/>
    <col min="7" max="7" width="24.6640625" bestFit="1" customWidth="1"/>
    <col min="8" max="8" width="15.83203125" bestFit="1" customWidth="1"/>
    <col min="9" max="9" width="14.1640625" bestFit="1" customWidth="1"/>
    <col min="10" max="10" width="17.5" bestFit="1" customWidth="1"/>
    <col min="11" max="11" width="16" customWidth="1"/>
    <col min="12" max="12" width="10.5" bestFit="1" customWidth="1"/>
    <col min="13" max="13" width="9.6640625" bestFit="1" customWidth="1"/>
    <col min="14" max="14" width="11.5" bestFit="1" customWidth="1"/>
    <col min="15" max="15" width="10.5" bestFit="1" customWidth="1"/>
    <col min="16" max="16" width="9.6640625" bestFit="1" customWidth="1"/>
    <col min="17" max="17" width="11.5" bestFit="1" customWidth="1"/>
    <col min="18" max="18" width="10.5" bestFit="1" customWidth="1"/>
    <col min="19" max="19" width="9.6640625" bestFit="1" customWidth="1"/>
    <col min="20" max="20" width="11.5" bestFit="1" customWidth="1"/>
    <col min="21" max="21" width="10.5" bestFit="1" customWidth="1"/>
    <col min="22" max="22" width="9.6640625" bestFit="1" customWidth="1"/>
    <col min="23" max="23" width="11.5" bestFit="1" customWidth="1"/>
    <col min="24" max="24" width="10.5" bestFit="1" customWidth="1"/>
    <col min="25" max="25" width="9.6640625" bestFit="1" customWidth="1"/>
  </cols>
  <sheetData>
    <row r="1" spans="1:25" x14ac:dyDescent="0.2">
      <c r="A1" s="18" t="s">
        <v>7</v>
      </c>
      <c r="B1" s="21" t="s">
        <v>4</v>
      </c>
      <c r="C1" s="20"/>
      <c r="D1" s="22"/>
      <c r="E1" s="21" t="s">
        <v>0</v>
      </c>
      <c r="F1" s="20"/>
      <c r="G1" s="22"/>
      <c r="H1" s="21" t="s">
        <v>1</v>
      </c>
      <c r="I1" s="20"/>
      <c r="J1" s="22"/>
      <c r="K1" s="23" t="s">
        <v>6</v>
      </c>
      <c r="N1" s="20"/>
      <c r="O1" s="20"/>
      <c r="P1" s="20"/>
      <c r="T1" s="20"/>
      <c r="U1" s="20"/>
      <c r="V1" s="20"/>
      <c r="W1" s="20"/>
      <c r="X1" s="20"/>
      <c r="Y1" s="20"/>
    </row>
    <row r="2" spans="1:25" x14ac:dyDescent="0.2">
      <c r="A2" s="19"/>
      <c r="B2" s="5" t="s">
        <v>2</v>
      </c>
      <c r="C2" s="2" t="s">
        <v>3</v>
      </c>
      <c r="D2" s="3" t="s">
        <v>5</v>
      </c>
      <c r="E2" s="5" t="s">
        <v>2</v>
      </c>
      <c r="F2" s="2" t="s">
        <v>3</v>
      </c>
      <c r="G2" s="3" t="s">
        <v>5</v>
      </c>
      <c r="H2" s="5" t="s">
        <v>2</v>
      </c>
      <c r="I2" s="2" t="s">
        <v>3</v>
      </c>
      <c r="J2" s="3" t="s">
        <v>5</v>
      </c>
      <c r="K2" s="23"/>
      <c r="L2" s="2"/>
      <c r="M2" s="9"/>
      <c r="N2" s="9"/>
      <c r="O2" s="2"/>
      <c r="P2" s="9"/>
      <c r="T2" s="9"/>
      <c r="U2" s="2"/>
      <c r="V2" s="9"/>
      <c r="W2" s="9"/>
      <c r="X2" s="2"/>
      <c r="Y2" s="9"/>
    </row>
    <row r="3" spans="1:25" x14ac:dyDescent="0.2">
      <c r="A3" s="7">
        <v>46094</v>
      </c>
      <c r="B3" s="6">
        <v>70</v>
      </c>
      <c r="C3" s="1">
        <v>24</v>
      </c>
      <c r="D3" s="4">
        <f>B3*C3</f>
        <v>1680</v>
      </c>
      <c r="E3" s="6">
        <v>50</v>
      </c>
      <c r="F3" s="1">
        <v>24</v>
      </c>
      <c r="G3" s="4">
        <f t="shared" ref="G3:G13" si="0">E3*F3</f>
        <v>1200</v>
      </c>
      <c r="H3" s="1">
        <v>35</v>
      </c>
      <c r="I3" s="1">
        <v>36</v>
      </c>
      <c r="J3" s="4">
        <f>H3*I3</f>
        <v>1260</v>
      </c>
      <c r="K3" s="11">
        <f>D3+G3+J3</f>
        <v>4140</v>
      </c>
      <c r="W3" s="1"/>
      <c r="X3" s="1"/>
      <c r="Y3" s="1"/>
    </row>
    <row r="4" spans="1:25" x14ac:dyDescent="0.2">
      <c r="A4" s="7">
        <v>46096</v>
      </c>
      <c r="B4" s="6">
        <v>70</v>
      </c>
      <c r="C4" s="1">
        <v>27</v>
      </c>
      <c r="D4" s="4">
        <f t="shared" ref="D4:D13" si="1">B4*C4</f>
        <v>1890</v>
      </c>
      <c r="E4" s="6">
        <v>50</v>
      </c>
      <c r="F4" s="1">
        <v>24</v>
      </c>
      <c r="G4" s="4">
        <f t="shared" si="0"/>
        <v>1200</v>
      </c>
      <c r="H4" s="1">
        <v>35</v>
      </c>
      <c r="I4" s="1">
        <v>45</v>
      </c>
      <c r="J4" s="4">
        <f t="shared" ref="J4:J5" si="2">H4*I4</f>
        <v>1575</v>
      </c>
      <c r="K4" s="11">
        <f t="shared" ref="K4:K13" si="3">D4+G4+J4</f>
        <v>4665</v>
      </c>
      <c r="W4" s="1"/>
      <c r="X4" s="1"/>
      <c r="Y4" s="1"/>
    </row>
    <row r="5" spans="1:25" x14ac:dyDescent="0.2">
      <c r="A5" s="8">
        <v>46099</v>
      </c>
      <c r="B5" s="6">
        <v>75</v>
      </c>
      <c r="C5" s="1">
        <v>24</v>
      </c>
      <c r="D5" s="4">
        <f t="shared" si="1"/>
        <v>1800</v>
      </c>
      <c r="E5" s="6">
        <v>55</v>
      </c>
      <c r="F5" s="1">
        <v>24</v>
      </c>
      <c r="G5" s="4">
        <f t="shared" si="0"/>
        <v>1320</v>
      </c>
      <c r="H5" s="1">
        <v>40</v>
      </c>
      <c r="I5" s="1">
        <v>36</v>
      </c>
      <c r="J5" s="4">
        <f t="shared" si="2"/>
        <v>1440</v>
      </c>
      <c r="K5" s="11">
        <f t="shared" si="3"/>
        <v>4560</v>
      </c>
      <c r="T5" s="1"/>
      <c r="U5" s="1"/>
      <c r="V5" s="1"/>
      <c r="W5" s="1"/>
      <c r="X5" s="1"/>
      <c r="Y5" s="1"/>
    </row>
    <row r="6" spans="1:25" x14ac:dyDescent="0.2">
      <c r="A6" s="8">
        <v>46101</v>
      </c>
      <c r="B6" s="6">
        <v>75</v>
      </c>
      <c r="C6" s="1">
        <v>24</v>
      </c>
      <c r="D6" s="4">
        <f t="shared" si="1"/>
        <v>1800</v>
      </c>
      <c r="E6" s="6">
        <v>60</v>
      </c>
      <c r="F6" s="1">
        <v>24</v>
      </c>
      <c r="G6" s="4">
        <f t="shared" si="0"/>
        <v>1440</v>
      </c>
      <c r="H6" s="6">
        <v>40</v>
      </c>
      <c r="I6" s="1">
        <v>45</v>
      </c>
      <c r="J6" s="4">
        <f t="shared" ref="J6:J13" si="4">H6*I6</f>
        <v>1800</v>
      </c>
      <c r="K6" s="11">
        <f t="shared" si="3"/>
        <v>5040</v>
      </c>
      <c r="T6" s="10"/>
      <c r="U6" s="1"/>
      <c r="V6" s="1"/>
      <c r="W6" s="1"/>
      <c r="X6" s="1"/>
      <c r="Y6" s="1"/>
    </row>
    <row r="7" spans="1:25" x14ac:dyDescent="0.2">
      <c r="A7" s="8">
        <v>46103</v>
      </c>
      <c r="B7" s="6">
        <v>75</v>
      </c>
      <c r="C7" s="1">
        <v>27</v>
      </c>
      <c r="D7" s="4">
        <f t="shared" si="1"/>
        <v>2025</v>
      </c>
      <c r="E7" s="6">
        <v>60</v>
      </c>
      <c r="F7" s="1">
        <v>23</v>
      </c>
      <c r="G7" s="4">
        <f t="shared" si="0"/>
        <v>1380</v>
      </c>
      <c r="H7" s="6">
        <v>45</v>
      </c>
      <c r="I7" s="1">
        <v>43</v>
      </c>
      <c r="J7" s="4">
        <f t="shared" si="4"/>
        <v>1935</v>
      </c>
      <c r="K7" s="11">
        <f t="shared" si="3"/>
        <v>5340</v>
      </c>
      <c r="T7" s="1"/>
      <c r="U7" s="1"/>
      <c r="V7" s="1"/>
      <c r="W7" s="1"/>
      <c r="X7" s="1"/>
      <c r="Y7" s="1"/>
    </row>
    <row r="8" spans="1:25" x14ac:dyDescent="0.2">
      <c r="A8" s="8">
        <v>46106</v>
      </c>
      <c r="B8" s="6">
        <v>80</v>
      </c>
      <c r="C8" s="1">
        <v>24</v>
      </c>
      <c r="D8" s="4">
        <f t="shared" si="1"/>
        <v>1920</v>
      </c>
      <c r="E8" s="6">
        <v>65</v>
      </c>
      <c r="F8" s="1">
        <v>21</v>
      </c>
      <c r="G8" s="4">
        <f t="shared" si="0"/>
        <v>1365</v>
      </c>
      <c r="H8" s="6">
        <v>50</v>
      </c>
      <c r="I8" s="1">
        <v>36</v>
      </c>
      <c r="J8" s="4">
        <f t="shared" si="4"/>
        <v>1800</v>
      </c>
      <c r="K8" s="11">
        <f t="shared" si="3"/>
        <v>5085</v>
      </c>
      <c r="T8" s="1"/>
      <c r="U8" s="1"/>
      <c r="V8" s="1"/>
      <c r="W8" s="1"/>
      <c r="X8" s="1"/>
      <c r="Y8" s="1"/>
    </row>
    <row r="9" spans="1:25" x14ac:dyDescent="0.2">
      <c r="A9" s="8">
        <v>46108</v>
      </c>
      <c r="B9" s="6">
        <v>85</v>
      </c>
      <c r="C9" s="1">
        <v>21</v>
      </c>
      <c r="D9" s="4">
        <f t="shared" si="1"/>
        <v>1785</v>
      </c>
      <c r="E9" s="6">
        <v>65</v>
      </c>
      <c r="F9" s="1">
        <v>21</v>
      </c>
      <c r="G9" s="4">
        <f t="shared" si="0"/>
        <v>1365</v>
      </c>
      <c r="H9" s="6">
        <v>55</v>
      </c>
      <c r="I9" s="1">
        <v>30</v>
      </c>
      <c r="J9" s="4">
        <f t="shared" si="4"/>
        <v>1650</v>
      </c>
      <c r="K9" s="11">
        <f t="shared" si="3"/>
        <v>4800</v>
      </c>
      <c r="T9" s="1"/>
      <c r="U9" s="1"/>
      <c r="V9" s="1"/>
      <c r="W9" s="1"/>
      <c r="X9" s="1"/>
      <c r="Y9" s="1"/>
    </row>
    <row r="10" spans="1:25" x14ac:dyDescent="0.2">
      <c r="A10" s="8">
        <v>46110</v>
      </c>
      <c r="B10" s="6">
        <v>90</v>
      </c>
      <c r="C10" s="1">
        <v>18</v>
      </c>
      <c r="D10" s="4">
        <f t="shared" si="1"/>
        <v>1620</v>
      </c>
      <c r="E10" s="6">
        <v>70</v>
      </c>
      <c r="F10" s="1">
        <v>18</v>
      </c>
      <c r="G10" s="4">
        <f t="shared" si="0"/>
        <v>1260</v>
      </c>
      <c r="H10" s="6">
        <v>60</v>
      </c>
      <c r="I10" s="1">
        <v>24</v>
      </c>
      <c r="J10" s="4">
        <f t="shared" si="4"/>
        <v>1440</v>
      </c>
      <c r="K10" s="11">
        <f t="shared" si="3"/>
        <v>4320</v>
      </c>
      <c r="T10" s="1"/>
      <c r="U10" s="1"/>
      <c r="V10" s="1"/>
    </row>
    <row r="11" spans="1:25" x14ac:dyDescent="0.2">
      <c r="A11" s="8">
        <v>46113</v>
      </c>
      <c r="B11" s="6">
        <v>90</v>
      </c>
      <c r="C11" s="1">
        <v>21</v>
      </c>
      <c r="D11" s="4">
        <f t="shared" si="1"/>
        <v>1890</v>
      </c>
      <c r="E11" s="6">
        <v>75</v>
      </c>
      <c r="F11" s="1">
        <v>17</v>
      </c>
      <c r="G11" s="4">
        <f t="shared" si="0"/>
        <v>1275</v>
      </c>
      <c r="H11" s="6">
        <v>60</v>
      </c>
      <c r="I11" s="1">
        <v>27</v>
      </c>
      <c r="J11" s="4">
        <f t="shared" si="4"/>
        <v>1620</v>
      </c>
      <c r="K11" s="11">
        <f t="shared" si="3"/>
        <v>4785</v>
      </c>
      <c r="T11" s="1"/>
      <c r="U11" s="1"/>
      <c r="V11" s="1"/>
    </row>
    <row r="12" spans="1:25" x14ac:dyDescent="0.2">
      <c r="A12" s="8">
        <v>46115</v>
      </c>
      <c r="B12" s="6">
        <v>90</v>
      </c>
      <c r="C12" s="1">
        <v>24</v>
      </c>
      <c r="D12" s="4">
        <f t="shared" si="1"/>
        <v>2160</v>
      </c>
      <c r="E12" s="6">
        <v>75</v>
      </c>
      <c r="F12" s="1">
        <v>17</v>
      </c>
      <c r="G12" s="4">
        <f t="shared" si="0"/>
        <v>1275</v>
      </c>
      <c r="H12" s="6">
        <v>60</v>
      </c>
      <c r="I12" s="1">
        <v>29</v>
      </c>
      <c r="J12" s="4">
        <f t="shared" si="4"/>
        <v>1740</v>
      </c>
      <c r="K12" s="11">
        <f t="shared" si="3"/>
        <v>5175</v>
      </c>
      <c r="T12" s="1"/>
      <c r="U12" s="1"/>
      <c r="V12" s="1"/>
    </row>
    <row r="13" spans="1:25" x14ac:dyDescent="0.2">
      <c r="A13" s="7">
        <v>46117</v>
      </c>
      <c r="B13" s="6">
        <v>95</v>
      </c>
      <c r="C13" s="1">
        <v>21</v>
      </c>
      <c r="D13" s="4">
        <f t="shared" si="1"/>
        <v>1995</v>
      </c>
      <c r="E13" s="6">
        <v>75</v>
      </c>
      <c r="F13" s="1">
        <v>20</v>
      </c>
      <c r="G13" s="4">
        <f t="shared" si="0"/>
        <v>1500</v>
      </c>
      <c r="H13" s="6">
        <v>60</v>
      </c>
      <c r="I13" s="1">
        <v>30</v>
      </c>
      <c r="J13" s="4">
        <f t="shared" si="4"/>
        <v>1800</v>
      </c>
      <c r="K13" s="11">
        <f t="shared" si="3"/>
        <v>5295</v>
      </c>
    </row>
    <row r="14" spans="1:25" x14ac:dyDescent="0.2">
      <c r="A14" s="8"/>
      <c r="E14" s="1"/>
      <c r="F14" s="1"/>
    </row>
    <row r="15" spans="1:25" x14ac:dyDescent="0.2">
      <c r="A15" s="8"/>
    </row>
    <row r="16" spans="1:25" x14ac:dyDescent="0.2">
      <c r="A16" s="8"/>
    </row>
    <row r="20" spans="1:11" x14ac:dyDescent="0.2">
      <c r="B20" s="17"/>
      <c r="C20" s="17"/>
      <c r="D20" s="17"/>
      <c r="E20" s="17"/>
      <c r="F20" s="17"/>
      <c r="G20" s="17"/>
      <c r="H20" s="17"/>
      <c r="I20" s="17"/>
      <c r="J20" s="17"/>
    </row>
    <row r="21" spans="1:11" x14ac:dyDescent="0.2">
      <c r="A21" s="15" t="s">
        <v>7</v>
      </c>
      <c r="B21" s="5" t="s">
        <v>11</v>
      </c>
      <c r="C21" s="9" t="s">
        <v>12</v>
      </c>
      <c r="D21" s="3" t="s">
        <v>13</v>
      </c>
      <c r="E21" s="5" t="s">
        <v>14</v>
      </c>
      <c r="F21" s="2" t="s">
        <v>15</v>
      </c>
      <c r="G21" s="3" t="s">
        <v>16</v>
      </c>
      <c r="H21" s="5" t="s">
        <v>17</v>
      </c>
      <c r="I21" s="2" t="s">
        <v>18</v>
      </c>
      <c r="J21" s="3" t="s">
        <v>19</v>
      </c>
      <c r="K21" s="16" t="s">
        <v>6</v>
      </c>
    </row>
    <row r="22" spans="1:11" x14ac:dyDescent="0.2">
      <c r="A22" s="7">
        <v>46094</v>
      </c>
      <c r="B22" s="6">
        <v>70</v>
      </c>
      <c r="C22" s="1">
        <v>24</v>
      </c>
      <c r="D22" s="4">
        <f>B22*C22</f>
        <v>1680</v>
      </c>
      <c r="E22" s="6">
        <v>50</v>
      </c>
      <c r="F22" s="1">
        <v>24</v>
      </c>
      <c r="G22" s="4">
        <f t="shared" ref="G22:G32" si="5">E22*F22</f>
        <v>1200</v>
      </c>
      <c r="H22" s="1">
        <v>35</v>
      </c>
      <c r="I22" s="1">
        <v>36</v>
      </c>
      <c r="J22" s="4">
        <f>H22*I22</f>
        <v>1260</v>
      </c>
      <c r="K22" s="11">
        <f>D22+G22+J22</f>
        <v>4140</v>
      </c>
    </row>
    <row r="23" spans="1:11" x14ac:dyDescent="0.2">
      <c r="A23" s="7">
        <v>46096</v>
      </c>
      <c r="B23" s="6">
        <v>70</v>
      </c>
      <c r="C23" s="1">
        <v>27</v>
      </c>
      <c r="D23" s="4">
        <f t="shared" ref="D23:D32" si="6">B23*C23</f>
        <v>1890</v>
      </c>
      <c r="E23" s="6">
        <v>50</v>
      </c>
      <c r="F23" s="1">
        <v>24</v>
      </c>
      <c r="G23" s="4">
        <f t="shared" si="5"/>
        <v>1200</v>
      </c>
      <c r="H23" s="1">
        <v>35</v>
      </c>
      <c r="I23" s="1">
        <v>45</v>
      </c>
      <c r="J23" s="4">
        <f t="shared" ref="J23:J32" si="7">H23*I23</f>
        <v>1575</v>
      </c>
      <c r="K23" s="11">
        <f t="shared" ref="K23:K32" si="8">D23+G23+J23</f>
        <v>4665</v>
      </c>
    </row>
    <row r="24" spans="1:11" x14ac:dyDescent="0.2">
      <c r="A24" s="8">
        <v>46099</v>
      </c>
      <c r="B24" s="6">
        <v>75</v>
      </c>
      <c r="C24" s="1">
        <v>24</v>
      </c>
      <c r="D24" s="4">
        <f t="shared" si="6"/>
        <v>1800</v>
      </c>
      <c r="E24" s="6">
        <v>55</v>
      </c>
      <c r="F24" s="1">
        <v>24</v>
      </c>
      <c r="G24" s="4">
        <f t="shared" si="5"/>
        <v>1320</v>
      </c>
      <c r="H24" s="1">
        <v>40</v>
      </c>
      <c r="I24" s="1">
        <v>36</v>
      </c>
      <c r="J24" s="4">
        <f t="shared" si="7"/>
        <v>1440</v>
      </c>
      <c r="K24" s="11">
        <f t="shared" si="8"/>
        <v>4560</v>
      </c>
    </row>
    <row r="25" spans="1:11" x14ac:dyDescent="0.2">
      <c r="A25" s="8">
        <v>46101</v>
      </c>
      <c r="B25" s="6">
        <v>75</v>
      </c>
      <c r="C25" s="1">
        <v>24</v>
      </c>
      <c r="D25" s="4">
        <f t="shared" si="6"/>
        <v>1800</v>
      </c>
      <c r="E25" s="6">
        <v>60</v>
      </c>
      <c r="F25" s="1">
        <v>24</v>
      </c>
      <c r="G25" s="4">
        <f t="shared" si="5"/>
        <v>1440</v>
      </c>
      <c r="H25" s="6">
        <v>40</v>
      </c>
      <c r="I25" s="1">
        <v>45</v>
      </c>
      <c r="J25" s="4">
        <f t="shared" si="7"/>
        <v>1800</v>
      </c>
      <c r="K25" s="11">
        <f t="shared" si="8"/>
        <v>5040</v>
      </c>
    </row>
    <row r="26" spans="1:11" x14ac:dyDescent="0.2">
      <c r="A26" s="8">
        <v>46103</v>
      </c>
      <c r="B26" s="6">
        <v>75</v>
      </c>
      <c r="C26" s="1">
        <v>27</v>
      </c>
      <c r="D26" s="4">
        <f t="shared" si="6"/>
        <v>2025</v>
      </c>
      <c r="E26" s="6">
        <v>60</v>
      </c>
      <c r="F26" s="1">
        <v>23</v>
      </c>
      <c r="G26" s="4">
        <f t="shared" si="5"/>
        <v>1380</v>
      </c>
      <c r="H26" s="6">
        <v>45</v>
      </c>
      <c r="I26" s="1">
        <v>43</v>
      </c>
      <c r="J26" s="4">
        <f t="shared" si="7"/>
        <v>1935</v>
      </c>
      <c r="K26" s="11">
        <f t="shared" si="8"/>
        <v>5340</v>
      </c>
    </row>
    <row r="27" spans="1:11" x14ac:dyDescent="0.2">
      <c r="A27" s="8">
        <v>46106</v>
      </c>
      <c r="B27" s="6">
        <v>80</v>
      </c>
      <c r="C27" s="1">
        <v>24</v>
      </c>
      <c r="D27" s="4">
        <f t="shared" si="6"/>
        <v>1920</v>
      </c>
      <c r="E27" s="6">
        <v>65</v>
      </c>
      <c r="F27" s="1">
        <v>21</v>
      </c>
      <c r="G27" s="4">
        <f t="shared" si="5"/>
        <v>1365</v>
      </c>
      <c r="H27" s="6">
        <v>50</v>
      </c>
      <c r="I27" s="1">
        <v>36</v>
      </c>
      <c r="J27" s="4">
        <f t="shared" si="7"/>
        <v>1800</v>
      </c>
      <c r="K27" s="11">
        <f t="shared" si="8"/>
        <v>5085</v>
      </c>
    </row>
    <row r="28" spans="1:11" x14ac:dyDescent="0.2">
      <c r="A28" s="8">
        <v>46108</v>
      </c>
      <c r="B28" s="6">
        <v>85</v>
      </c>
      <c r="C28" s="1">
        <v>21</v>
      </c>
      <c r="D28" s="4">
        <f t="shared" si="6"/>
        <v>1785</v>
      </c>
      <c r="E28" s="6">
        <v>65</v>
      </c>
      <c r="F28" s="1">
        <v>21</v>
      </c>
      <c r="G28" s="4">
        <f t="shared" si="5"/>
        <v>1365</v>
      </c>
      <c r="H28" s="6">
        <v>55</v>
      </c>
      <c r="I28" s="1">
        <v>30</v>
      </c>
      <c r="J28" s="4">
        <f t="shared" si="7"/>
        <v>1650</v>
      </c>
      <c r="K28" s="11">
        <f t="shared" si="8"/>
        <v>4800</v>
      </c>
    </row>
    <row r="29" spans="1:11" x14ac:dyDescent="0.2">
      <c r="A29" s="8">
        <v>46110</v>
      </c>
      <c r="B29" s="6">
        <v>90</v>
      </c>
      <c r="C29" s="1">
        <v>18</v>
      </c>
      <c r="D29" s="4">
        <f t="shared" si="6"/>
        <v>1620</v>
      </c>
      <c r="E29" s="6">
        <v>70</v>
      </c>
      <c r="F29" s="1">
        <v>18</v>
      </c>
      <c r="G29" s="4">
        <f t="shared" si="5"/>
        <v>1260</v>
      </c>
      <c r="H29" s="6">
        <v>60</v>
      </c>
      <c r="I29" s="1">
        <v>24</v>
      </c>
      <c r="J29" s="4">
        <f t="shared" si="7"/>
        <v>1440</v>
      </c>
      <c r="K29" s="11">
        <f t="shared" si="8"/>
        <v>4320</v>
      </c>
    </row>
    <row r="30" spans="1:11" x14ac:dyDescent="0.2">
      <c r="A30" s="8">
        <v>46113</v>
      </c>
      <c r="B30" s="6">
        <v>90</v>
      </c>
      <c r="C30" s="1">
        <v>21</v>
      </c>
      <c r="D30" s="4">
        <f t="shared" si="6"/>
        <v>1890</v>
      </c>
      <c r="E30" s="6">
        <v>75</v>
      </c>
      <c r="F30" s="1">
        <v>17</v>
      </c>
      <c r="G30" s="4">
        <f t="shared" si="5"/>
        <v>1275</v>
      </c>
      <c r="H30" s="6">
        <v>60</v>
      </c>
      <c r="I30" s="1">
        <v>27</v>
      </c>
      <c r="J30" s="4">
        <f t="shared" si="7"/>
        <v>1620</v>
      </c>
      <c r="K30" s="11">
        <f t="shared" si="8"/>
        <v>4785</v>
      </c>
    </row>
    <row r="31" spans="1:11" x14ac:dyDescent="0.2">
      <c r="A31" s="8">
        <v>46115</v>
      </c>
      <c r="B31" s="6">
        <v>90</v>
      </c>
      <c r="C31" s="1">
        <v>24</v>
      </c>
      <c r="D31" s="4">
        <f t="shared" si="6"/>
        <v>2160</v>
      </c>
      <c r="E31" s="6">
        <v>75</v>
      </c>
      <c r="F31" s="1">
        <v>17</v>
      </c>
      <c r="G31" s="4">
        <f t="shared" si="5"/>
        <v>1275</v>
      </c>
      <c r="H31" s="6">
        <v>60</v>
      </c>
      <c r="I31" s="1">
        <v>29</v>
      </c>
      <c r="J31" s="4">
        <f t="shared" si="7"/>
        <v>1740</v>
      </c>
      <c r="K31" s="11">
        <f t="shared" si="8"/>
        <v>5175</v>
      </c>
    </row>
    <row r="32" spans="1:11" x14ac:dyDescent="0.2">
      <c r="A32" s="7">
        <v>46117</v>
      </c>
      <c r="B32" s="6">
        <v>95</v>
      </c>
      <c r="C32" s="1">
        <v>21</v>
      </c>
      <c r="D32" s="4">
        <f t="shared" si="6"/>
        <v>1995</v>
      </c>
      <c r="E32" s="6">
        <v>75</v>
      </c>
      <c r="F32" s="1">
        <v>20</v>
      </c>
      <c r="G32" s="4">
        <f t="shared" si="5"/>
        <v>1500</v>
      </c>
      <c r="H32" s="6">
        <v>60</v>
      </c>
      <c r="I32" s="1">
        <v>30</v>
      </c>
      <c r="J32" s="4">
        <f t="shared" si="7"/>
        <v>1800</v>
      </c>
      <c r="K32" s="11">
        <f t="shared" si="8"/>
        <v>5295</v>
      </c>
    </row>
  </sheetData>
  <mergeCells count="8">
    <mergeCell ref="A1:A2"/>
    <mergeCell ref="T1:V1"/>
    <mergeCell ref="W1:Y1"/>
    <mergeCell ref="B1:D1"/>
    <mergeCell ref="E1:G1"/>
    <mergeCell ref="H1:J1"/>
    <mergeCell ref="N1:P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Murat ALBAŞ</dc:creator>
  <cp:lastModifiedBy>Muhammet Murat ALBAŞ</cp:lastModifiedBy>
  <dcterms:created xsi:type="dcterms:W3CDTF">2026-04-09T11:54:00Z</dcterms:created>
  <dcterms:modified xsi:type="dcterms:W3CDTF">2026-04-24T18:07:53Z</dcterms:modified>
</cp:coreProperties>
</file>